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_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sz val="10"/>
    </font>
    <font>
      <name val="Arial"/>
      <b val="1"/>
      <i val="1"/>
    </font>
  </fonts>
  <fills count="9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D966"/>
        <bgColor rgb="00FFD966"/>
      </patternFill>
    </fill>
    <fill>
      <patternFill patternType="solid">
        <fgColor rgb="00BDE0FE"/>
        <bgColor rgb="00BDE0FE"/>
      </patternFill>
    </fill>
    <fill>
      <patternFill patternType="solid">
        <fgColor rgb="00C6EFCE"/>
        <bgColor rgb="00C6EFCE"/>
      </patternFill>
    </fill>
    <fill>
      <patternFill patternType="solid">
        <fgColor rgb="00FFDDC1"/>
        <bgColor rgb="00FFDDC1"/>
      </patternFill>
    </fill>
    <fill>
      <patternFill patternType="solid">
        <fgColor rgb="00FFFACD"/>
        <bgColor rgb="00FFFACD"/>
      </patternFill>
    </fill>
    <fill>
      <patternFill patternType="solid">
        <fgColor rgb="00E0E0E0"/>
        <bgColor rgb="00E0E0E0"/>
      </patternFill>
    </fill>
  </fills>
  <borders count="4">
    <border>
      <left/>
      <right/>
      <top/>
      <bottom/>
      <diagonal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 vertical="center"/>
    </xf>
    <xf numFmtId="4" fontId="0" fillId="4" borderId="0" applyAlignment="1" pivotButton="0" quotePrefix="0" xfId="0">
      <alignment horizontal="right" vertical="center"/>
    </xf>
    <xf numFmtId="10" fontId="0" fillId="4" borderId="0" applyAlignment="1" pivotButton="0" quotePrefix="0" xfId="0">
      <alignment horizontal="right" vertical="center"/>
    </xf>
    <xf numFmtId="4" fontId="0" fillId="5" borderId="0" applyAlignment="1" pivotButton="0" quotePrefix="0" xfId="0">
      <alignment horizontal="right" vertical="center"/>
    </xf>
    <xf numFmtId="10" fontId="0" fillId="5" borderId="0" applyAlignment="1" pivotButton="0" quotePrefix="0" xfId="0">
      <alignment horizontal="right" vertical="center"/>
    </xf>
    <xf numFmtId="4" fontId="0" fillId="6" borderId="0" applyAlignment="1" pivotButton="0" quotePrefix="0" xfId="0">
      <alignment horizontal="right" vertical="center"/>
    </xf>
    <xf numFmtId="10" fontId="0" fillId="6" borderId="0" applyAlignment="1" pivotButton="0" quotePrefix="0" xfId="0">
      <alignment horizontal="right" vertical="center"/>
    </xf>
    <xf numFmtId="4" fontId="0" fillId="7" borderId="0" applyAlignment="1" pivotButton="0" quotePrefix="0" xfId="0">
      <alignment horizontal="right" vertical="center"/>
    </xf>
    <xf numFmtId="10" fontId="0" fillId="7" borderId="0" applyAlignment="1" pivotButton="0" quotePrefix="0" xfId="0">
      <alignment horizontal="right" vertical="center"/>
    </xf>
    <xf numFmtId="10" fontId="0" fillId="0" borderId="0" applyAlignment="1" pivotButton="0" quotePrefix="0" xfId="0">
      <alignment horizontal="right" vertical="center"/>
    </xf>
    <xf numFmtId="4" fontId="4" fillId="8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cols>
    <col width="24.1" customWidth="1" min="1" max="1"/>
    <col width="20" customWidth="1" min="2" max="2"/>
    <col width="16" customWidth="1" min="3" max="3"/>
    <col width="44" customWidth="1" min="4" max="4"/>
    <col width="13.7" customWidth="1" min="5" max="5"/>
    <col width="13.7" customWidth="1" min="6" max="6"/>
    <col width="33" customWidth="1" min="7" max="7"/>
    <col width="50" customWidth="1" min="8" max="8"/>
    <col width="13.7" customWidth="1" min="9" max="9"/>
    <col width="33" customWidth="1" min="10" max="10"/>
    <col width="50" customWidth="1" min="11" max="11"/>
    <col width="13.7" customWidth="1" min="12" max="12"/>
    <col width="33" customWidth="1" min="13" max="13"/>
    <col width="50" customWidth="1" min="14" max="14"/>
    <col width="13.7" customWidth="1" min="15" max="15"/>
    <col width="33" customWidth="1" min="16" max="16"/>
    <col width="50" customWidth="1" min="17" max="17"/>
    <col width="27" customWidth="1" min="18" max="18"/>
    <col width="27" customWidth="1" min="19" max="19"/>
    <col width="31" customWidth="1" min="20" max="20"/>
    <col width="31" customWidth="1" min="21" max="21"/>
    <col width="25" customWidth="1" min="22" max="22"/>
    <col width="21.5" customWidth="1" min="23" max="23"/>
    <col width="22.8" customWidth="1" min="24" max="24"/>
    <col width="35" customWidth="1" min="25" max="25"/>
    <col width="35" customWidth="1" min="26" max="26"/>
    <col width="35" customWidth="1" min="27" max="27"/>
    <col width="26.7" customWidth="1" min="28" max="28"/>
    <col width="50" customWidth="1" min="29" max="29"/>
  </cols>
  <sheetData>
    <row r="1">
      <c r="A1" s="1" t="inlineStr">
        <is>
          <t>DATOS GENERALES</t>
        </is>
      </c>
      <c r="B1" s="2" t="n"/>
    </row>
    <row r="2">
      <c r="A2" s="3" t="inlineStr">
        <is>
          <t>Cliente</t>
        </is>
      </c>
      <c r="B2" s="4" t="inlineStr">
        <is>
          <t>KAM</t>
        </is>
      </c>
    </row>
    <row r="3">
      <c r="A3" s="3" t="inlineStr">
        <is>
          <t>Documento</t>
        </is>
      </c>
      <c r="B3" s="4" t="inlineStr">
        <is>
          <t>20100654025</t>
        </is>
      </c>
    </row>
    <row r="4">
      <c r="A4" s="3" t="inlineStr">
        <is>
          <t>Código de Cliente</t>
        </is>
      </c>
      <c r="B4" s="4" t="inlineStr">
        <is>
          <t>2202</t>
        </is>
      </c>
    </row>
    <row r="5">
      <c r="A5" s="3" t="inlineStr">
        <is>
          <t>Sucursal</t>
        </is>
      </c>
      <c r="B5" s="4" t="inlineStr">
        <is>
          <t>principal</t>
        </is>
      </c>
    </row>
    <row r="6">
      <c r="A6" s="3" t="inlineStr">
        <is>
          <t>Responsable</t>
        </is>
      </c>
      <c r="B6" s="4" t="inlineStr">
        <is>
          <t>Carlos Cusi Clares</t>
        </is>
      </c>
    </row>
    <row r="7">
      <c r="A7" s="3" t="inlineStr">
        <is>
          <t>Fecha</t>
        </is>
      </c>
      <c r="B7" s="4" t="inlineStr">
        <is>
          <t>09/01/2026</t>
        </is>
      </c>
    </row>
    <row r="8">
      <c r="A8" s="3" t="inlineStr">
        <is>
          <t>Total Productos</t>
        </is>
      </c>
      <c r="B8" s="4" t="n">
        <v>5</v>
      </c>
    </row>
    <row r="9">
      <c r="A9" s="3" t="inlineStr">
        <is>
          <t>Marca 1 (Base)</t>
        </is>
      </c>
      <c r="B9" s="4" t="inlineStr">
        <is>
          <t>vinifan</t>
        </is>
      </c>
    </row>
    <row r="10">
      <c r="A10" s="3" t="inlineStr">
        <is>
          <t>Marca 2</t>
        </is>
      </c>
      <c r="B10" s="4" t="inlineStr">
        <is>
          <t>vinifan2</t>
        </is>
      </c>
    </row>
    <row r="11">
      <c r="A11" s="3" t="inlineStr">
        <is>
          <t>Marca 3</t>
        </is>
      </c>
      <c r="B11" s="4" t="inlineStr">
        <is>
          <t>artesco</t>
        </is>
      </c>
    </row>
    <row r="12">
      <c r="A12" s="3" t="inlineStr">
        <is>
          <t>Marca 4</t>
        </is>
      </c>
      <c r="B12" s="4" t="inlineStr">
        <is>
          <t>layconsa</t>
        </is>
      </c>
    </row>
    <row r="13">
      <c r="A13" s="3" t="inlineStr">
        <is>
          <t>Marca 5</t>
        </is>
      </c>
      <c r="B13" s="4" t="inlineStr">
        <is>
          <t>vikingo</t>
        </is>
      </c>
    </row>
    <row r="14"/>
    <row r="15"/>
    <row r="16">
      <c r="A16" s="5" t="inlineStr">
        <is>
          <t>CODIGO</t>
        </is>
      </c>
      <c r="B16" s="5" t="inlineStr">
        <is>
          <t>EAN13</t>
        </is>
      </c>
      <c r="C16" s="5" t="inlineStr">
        <is>
          <t>EAN14</t>
        </is>
      </c>
      <c r="D16" s="5" t="inlineStr">
        <is>
          <t>NOMBRE PRODUCTO</t>
        </is>
      </c>
      <c r="E16" s="5" t="inlineStr">
        <is>
          <t>BASE (M1)</t>
        </is>
      </c>
      <c r="F16" s="5" t="inlineStr">
        <is>
          <t>M2_PRECIO</t>
        </is>
      </c>
      <c r="G16" s="5" t="inlineStr">
        <is>
          <t>M2_DIF</t>
        </is>
      </c>
      <c r="H16" s="5" t="inlineStr">
        <is>
          <t>M2_PCT</t>
        </is>
      </c>
      <c r="I16" s="5" t="inlineStr">
        <is>
          <t>M3_PRECIO</t>
        </is>
      </c>
      <c r="J16" s="5" t="inlineStr">
        <is>
          <t>M3_DIF</t>
        </is>
      </c>
      <c r="K16" s="5" t="inlineStr">
        <is>
          <t>M3_PCT</t>
        </is>
      </c>
      <c r="L16" s="5" t="inlineStr">
        <is>
          <t>M4_PRECIO</t>
        </is>
      </c>
      <c r="M16" s="5" t="inlineStr">
        <is>
          <t>M4_DIF</t>
        </is>
      </c>
      <c r="N16" s="5" t="inlineStr">
        <is>
          <t>M4_PCT</t>
        </is>
      </c>
      <c r="O16" s="5" t="inlineStr">
        <is>
          <t>M5_PRECIO</t>
        </is>
      </c>
      <c r="P16" s="5" t="inlineStr">
        <is>
          <t>M5_DIF</t>
        </is>
      </c>
      <c r="Q16" s="5" t="inlineStr">
        <is>
          <t>M5_PCT</t>
        </is>
      </c>
      <c r="R16" s="5" t="inlineStr">
        <is>
          <t>PRECIO MIN</t>
        </is>
      </c>
      <c r="S16" s="5" t="inlineStr">
        <is>
          <t>PRECIO MAX</t>
        </is>
      </c>
      <c r="T16" s="5" t="inlineStr">
        <is>
          <t>PROMEDIO</t>
        </is>
      </c>
      <c r="U16" s="5" t="inlineStr">
        <is>
          <t>DESV. ESTÁNDAR</t>
        </is>
      </c>
      <c r="V16" s="5" t="inlineStr">
        <is>
          <t>DISPERSIÓN (CV)</t>
        </is>
      </c>
      <c r="W16" s="5" t="inlineStr">
        <is>
          <t>PRECIO SUGERIDO</t>
        </is>
      </c>
      <c r="X16" s="5" t="inlineStr">
        <is>
          <t>RANKING SUGERIDO</t>
        </is>
      </c>
      <c r="Y16" s="5" t="inlineStr">
        <is>
          <t>% VS PROMEDIO</t>
        </is>
      </c>
      <c r="Z16" s="5" t="inlineStr">
        <is>
          <t>% VS MÍNIMO</t>
        </is>
      </c>
      <c r="AA16" s="5" t="inlineStr">
        <is>
          <t>% VS MÁXIMO</t>
        </is>
      </c>
      <c r="AB16" s="5" t="inlineStr">
        <is>
          <t>CONTEO COMPETIDORES</t>
        </is>
      </c>
      <c r="AC16" s="5" t="inlineStr">
        <is>
          <t>+BARATOS / +CAROS</t>
        </is>
      </c>
    </row>
    <row r="17">
      <c r="A17" t="inlineStr">
        <is>
          <t>77145</t>
        </is>
      </c>
      <c r="B17" t="inlineStr"/>
      <c r="C17" t="inlineStr"/>
      <c r="D17" t="inlineStr">
        <is>
          <t>77145</t>
        </is>
      </c>
      <c r="E17" s="6" t="n">
        <v>4</v>
      </c>
      <c r="F17" s="7" t="n">
        <v>5</v>
      </c>
      <c r="G17" s="7">
        <f>IF(ISNUMBER(F17), F17-E17, "")</f>
        <v/>
      </c>
      <c r="H17" s="8">
        <f>IF(AND(ISNUMBER(F17), ISNUMBER(E17), E17&lt;&gt;0), (F17-E17)/E17, 0)</f>
        <v/>
      </c>
      <c r="I17" s="9" t="n">
        <v>6</v>
      </c>
      <c r="J17" s="9">
        <f>IF(ISNUMBER(I17), I17-E17, "")</f>
        <v/>
      </c>
      <c r="K17" s="10">
        <f>IF(AND(ISNUMBER(I17), ISNUMBER(E17), E17&lt;&gt;0), (I17-E17)/E17, 0)</f>
        <v/>
      </c>
      <c r="L17" s="11" t="n">
        <v>3</v>
      </c>
      <c r="M17" s="11">
        <f>IF(ISNUMBER(L17), L17-E17, "")</f>
        <v/>
      </c>
      <c r="N17" s="12">
        <f>IF(AND(ISNUMBER(L17), ISNUMBER(E17), E17&lt;&gt;0), (L17-E17)/E17, 0)</f>
        <v/>
      </c>
      <c r="O17" s="13" t="n">
        <v>7</v>
      </c>
      <c r="P17" s="13">
        <f>IF(ISNUMBER(O17), O17-E17, "")</f>
        <v/>
      </c>
      <c r="Q17" s="14">
        <f>IF(AND(ISNUMBER(O17), ISNUMBER(E17), E17&lt;&gt;0), (O17-E17)/E17, 0)</f>
        <v/>
      </c>
      <c r="R17" s="6">
        <f>MIN(E17,F17,I17,L17,O17)</f>
        <v/>
      </c>
      <c r="S17" s="6">
        <f>MAX(E17,F17,I17,L17,O17)</f>
        <v/>
      </c>
      <c r="T17" s="6">
        <f>AVERAGE(E17,F17,I17,L17,O17)</f>
        <v/>
      </c>
      <c r="U17" s="6">
        <f>STDEV.P(E17,F17,I17,L17,O17)</f>
        <v/>
      </c>
      <c r="V17" s="15">
        <f>IF(T17&lt;&gt;0, U17/T17, 0)</f>
        <v/>
      </c>
      <c r="W17" s="16" t="n">
        <v>3.5</v>
      </c>
      <c r="X17" t="inlineStr"/>
      <c r="Y17" s="15">
        <f>IF(E17&lt;&gt;0, (T17 - E17) / E17, 0)</f>
        <v/>
      </c>
      <c r="Z17" s="15">
        <f>IF(E17&lt;&gt;0, (R17 - E17) / E17, 0)</f>
        <v/>
      </c>
      <c r="AA17" s="15">
        <f>IF(E17&lt;&gt;0, (S17 - E17) / E17, 0)</f>
        <v/>
      </c>
      <c r="AB17" s="17">
        <f>COUNT(F17,I17,L17,O17)</f>
        <v/>
      </c>
      <c r="AC17">
        <f>"+=COUNTIFS(F17,I17,L17,O17, "&lt;" &amp; E17) / +=COUNTIFS(F17,I17,L17,O17, "&gt;" &amp; E17)"</f>
        <v/>
      </c>
    </row>
    <row r="18">
      <c r="A18" t="inlineStr">
        <is>
          <t>77138</t>
        </is>
      </c>
      <c r="B18" t="inlineStr"/>
      <c r="C18" t="inlineStr"/>
      <c r="D18" t="inlineStr">
        <is>
          <t>77138</t>
        </is>
      </c>
      <c r="E18" s="6" t="n">
        <v>3</v>
      </c>
      <c r="F18" s="7" t="n">
        <v>4</v>
      </c>
      <c r="G18" s="7">
        <f>IF(ISNUMBER(F18), F18-E18, "")</f>
        <v/>
      </c>
      <c r="H18" s="8">
        <f>IF(AND(ISNUMBER(F18), ISNUMBER(E18), E18&lt;&gt;0), (F18-E18)/E18, 0)</f>
        <v/>
      </c>
      <c r="I18" s="9" t="n">
        <v>5</v>
      </c>
      <c r="J18" s="9">
        <f>IF(ISNUMBER(I18), I18-E18, "")</f>
        <v/>
      </c>
      <c r="K18" s="10">
        <f>IF(AND(ISNUMBER(I18), ISNUMBER(E18), E18&lt;&gt;0), (I18-E18)/E18, 0)</f>
        <v/>
      </c>
      <c r="L18" s="11" t="n">
        <v>6</v>
      </c>
      <c r="M18" s="11">
        <f>IF(ISNUMBER(L18), L18-E18, "")</f>
        <v/>
      </c>
      <c r="N18" s="12">
        <f>IF(AND(ISNUMBER(L18), ISNUMBER(E18), E18&lt;&gt;0), (L18-E18)/E18, 0)</f>
        <v/>
      </c>
      <c r="O18" s="13" t="n">
        <v>7</v>
      </c>
      <c r="P18" s="13">
        <f>IF(ISNUMBER(O18), O18-E18, "")</f>
        <v/>
      </c>
      <c r="Q18" s="14">
        <f>IF(AND(ISNUMBER(O18), ISNUMBER(E18), E18&lt;&gt;0), (O18-E18)/E18, 0)</f>
        <v/>
      </c>
      <c r="R18" s="6">
        <f>MIN(E18,F18,I18,L18,O18)</f>
        <v/>
      </c>
      <c r="S18" s="6">
        <f>MAX(E18,F18,I18,L18,O18)</f>
        <v/>
      </c>
      <c r="T18" s="6">
        <f>AVERAGE(E18,F18,I18,L18,O18)</f>
        <v/>
      </c>
      <c r="U18" s="6">
        <f>STDEV.P(E18,F18,I18,L18,O18)</f>
        <v/>
      </c>
      <c r="V18" s="15">
        <f>IF(T18&lt;&gt;0, U18/T18, 0)</f>
        <v/>
      </c>
      <c r="W18" s="16" t="n">
        <v>3.5</v>
      </c>
      <c r="X18" t="inlineStr"/>
      <c r="Y18" s="15">
        <f>IF(E18&lt;&gt;0, (T18 - E18) / E18, 0)</f>
        <v/>
      </c>
      <c r="Z18" s="15">
        <f>IF(E18&lt;&gt;0, (R18 - E18) / E18, 0)</f>
        <v/>
      </c>
      <c r="AA18" s="15">
        <f>IF(E18&lt;&gt;0, (S18 - E18) / E18, 0)</f>
        <v/>
      </c>
      <c r="AB18" s="17">
        <f>COUNT(F18,I18,L18,O18)</f>
        <v/>
      </c>
      <c r="AC18">
        <f>"+=COUNTIFS(F18,I18,L18,O18, "&lt;" &amp; E18) / +=COUNTIFS(F18,I18,L18,O18, "&gt;" &amp; E18)"</f>
        <v/>
      </c>
    </row>
    <row r="19">
      <c r="A19" t="inlineStr">
        <is>
          <t>02202</t>
        </is>
      </c>
      <c r="B19" t="inlineStr">
        <is>
          <t>7754807020015</t>
        </is>
      </c>
      <c r="C19" t="inlineStr">
        <is>
          <t>17754807020012</t>
        </is>
      </c>
      <c r="D19" t="inlineStr">
        <is>
          <t>FORRO N VINIFAN OFICIO CRISTAL 25</t>
        </is>
      </c>
      <c r="E19" s="6" t="n">
        <v>4</v>
      </c>
      <c r="F19" s="7" t="n">
        <v>5</v>
      </c>
      <c r="G19" s="7">
        <f>IF(ISNUMBER(F19), F19-E19, "")</f>
        <v/>
      </c>
      <c r="H19" s="8">
        <f>IF(AND(ISNUMBER(F19), ISNUMBER(E19), E19&lt;&gt;0), (F19-E19)/E19, 0)</f>
        <v/>
      </c>
      <c r="I19" s="9" t="n">
        <v>6</v>
      </c>
      <c r="J19" s="9">
        <f>IF(ISNUMBER(I19), I19-E19, "")</f>
        <v/>
      </c>
      <c r="K19" s="10">
        <f>IF(AND(ISNUMBER(I19), ISNUMBER(E19), E19&lt;&gt;0), (I19-E19)/E19, 0)</f>
        <v/>
      </c>
      <c r="L19" s="11" t="n">
        <v>3</v>
      </c>
      <c r="M19" s="11">
        <f>IF(ISNUMBER(L19), L19-E19, "")</f>
        <v/>
      </c>
      <c r="N19" s="12">
        <f>IF(AND(ISNUMBER(L19), ISNUMBER(E19), E19&lt;&gt;0), (L19-E19)/E19, 0)</f>
        <v/>
      </c>
      <c r="O19" s="13" t="n">
        <v>7</v>
      </c>
      <c r="P19" s="13">
        <f>IF(ISNUMBER(O19), O19-E19, "")</f>
        <v/>
      </c>
      <c r="Q19" s="14">
        <f>IF(AND(ISNUMBER(O19), ISNUMBER(E19), E19&lt;&gt;0), (O19-E19)/E19, 0)</f>
        <v/>
      </c>
      <c r="R19" s="6">
        <f>MIN(E19,F19,I19,L19,O19)</f>
        <v/>
      </c>
      <c r="S19" s="6">
        <f>MAX(E19,F19,I19,L19,O19)</f>
        <v/>
      </c>
      <c r="T19" s="6">
        <f>AVERAGE(E19,F19,I19,L19,O19)</f>
        <v/>
      </c>
      <c r="U19" s="6">
        <f>STDEV.P(E19,F19,I19,L19,O19)</f>
        <v/>
      </c>
      <c r="V19" s="15">
        <f>IF(T19&lt;&gt;0, U19/T19, 0)</f>
        <v/>
      </c>
      <c r="W19" s="16" t="n">
        <v>3.5</v>
      </c>
      <c r="X19" t="inlineStr"/>
      <c r="Y19" s="15">
        <f>IF(E19&lt;&gt;0, (T19 - E19) / E19, 0)</f>
        <v/>
      </c>
      <c r="Z19" s="15">
        <f>IF(E19&lt;&gt;0, (R19 - E19) / E19, 0)</f>
        <v/>
      </c>
      <c r="AA19" s="15">
        <f>IF(E19&lt;&gt;0, (S19 - E19) / E19, 0)</f>
        <v/>
      </c>
      <c r="AB19" s="17">
        <f>COUNT(F19,I19,L19,O19)</f>
        <v/>
      </c>
      <c r="AC19">
        <f>"+=COUNTIFS(F19,I19,L19,O19, "&lt;" &amp; E19) / +=COUNTIFS(F19,I19,L19,O19, "&gt;" &amp; E19)"</f>
        <v/>
      </c>
    </row>
    <row r="20">
      <c r="A20" t="inlineStr">
        <is>
          <t>77253</t>
        </is>
      </c>
      <c r="B20" t="inlineStr"/>
      <c r="C20" t="inlineStr">
        <is>
          <t>7754807772532</t>
        </is>
      </c>
      <c r="D20" t="inlineStr">
        <is>
          <t>PLUMON VINIFAN SUPER JUMBO 47 VERDE OSCURO</t>
        </is>
      </c>
      <c r="E20" s="6" t="n">
        <v>4</v>
      </c>
      <c r="F20" s="7" t="n">
        <v>5</v>
      </c>
      <c r="G20" s="7">
        <f>IF(ISNUMBER(F20), F20-E20, "")</f>
        <v/>
      </c>
      <c r="H20" s="8">
        <f>IF(AND(ISNUMBER(F20), ISNUMBER(E20), E20&lt;&gt;0), (F20-E20)/E20, 0)</f>
        <v/>
      </c>
      <c r="I20" s="9" t="n">
        <v>6</v>
      </c>
      <c r="J20" s="9">
        <f>IF(ISNUMBER(I20), I20-E20, "")</f>
        <v/>
      </c>
      <c r="K20" s="10">
        <f>IF(AND(ISNUMBER(I20), ISNUMBER(E20), E20&lt;&gt;0), (I20-E20)/E20, 0)</f>
        <v/>
      </c>
      <c r="L20" s="11" t="n">
        <v>3</v>
      </c>
      <c r="M20" s="11">
        <f>IF(ISNUMBER(L20), L20-E20, "")</f>
        <v/>
      </c>
      <c r="N20" s="12">
        <f>IF(AND(ISNUMBER(L20), ISNUMBER(E20), E20&lt;&gt;0), (L20-E20)/E20, 0)</f>
        <v/>
      </c>
      <c r="O20" s="13" t="n">
        <v>7</v>
      </c>
      <c r="P20" s="13">
        <f>IF(ISNUMBER(O20), O20-E20, "")</f>
        <v/>
      </c>
      <c r="Q20" s="14">
        <f>IF(AND(ISNUMBER(O20), ISNUMBER(E20), E20&lt;&gt;0), (O20-E20)/E20, 0)</f>
        <v/>
      </c>
      <c r="R20" s="6">
        <f>MIN(E20,F20,I20,L20,O20)</f>
        <v/>
      </c>
      <c r="S20" s="6">
        <f>MAX(E20,F20,I20,L20,O20)</f>
        <v/>
      </c>
      <c r="T20" s="6">
        <f>AVERAGE(E20,F20,I20,L20,O20)</f>
        <v/>
      </c>
      <c r="U20" s="6">
        <f>STDEV.P(E20,F20,I20,L20,O20)</f>
        <v/>
      </c>
      <c r="V20" s="15">
        <f>IF(T20&lt;&gt;0, U20/T20, 0)</f>
        <v/>
      </c>
      <c r="W20" s="16" t="n">
        <v>3.5</v>
      </c>
      <c r="X20" t="inlineStr"/>
      <c r="Y20" s="15">
        <f>IF(E20&lt;&gt;0, (T20 - E20) / E20, 0)</f>
        <v/>
      </c>
      <c r="Z20" s="15">
        <f>IF(E20&lt;&gt;0, (R20 - E20) / E20, 0)</f>
        <v/>
      </c>
      <c r="AA20" s="15">
        <f>IF(E20&lt;&gt;0, (S20 - E20) / E20, 0)</f>
        <v/>
      </c>
      <c r="AB20" s="17">
        <f>COUNT(F20,I20,L20,O20)</f>
        <v/>
      </c>
      <c r="AC20">
        <f>"+=COUNTIFS(F20,I20,L20,O20, "&lt;" &amp; E20) / +=COUNTIFS(F20,I20,L20,O20, "&gt;" &amp; E20)"</f>
        <v/>
      </c>
    </row>
    <row r="21">
      <c r="A21" t="inlineStr">
        <is>
          <t>08034</t>
        </is>
      </c>
      <c r="B21" t="inlineStr">
        <is>
          <t>7754807080163</t>
        </is>
      </c>
      <c r="C21" t="inlineStr">
        <is>
          <t>17754807080160</t>
        </is>
      </c>
      <c r="D21" t="inlineStr">
        <is>
          <t>PORTAPAPELES TOP A4  X 10 UN - 2013</t>
        </is>
      </c>
      <c r="E21" s="6" t="n">
        <v>4</v>
      </c>
      <c r="F21" s="7" t="n">
        <v>5</v>
      </c>
      <c r="G21" s="7">
        <f>IF(ISNUMBER(F21), F21-E21, "")</f>
        <v/>
      </c>
      <c r="H21" s="8">
        <f>IF(AND(ISNUMBER(F21), ISNUMBER(E21), E21&lt;&gt;0), (F21-E21)/E21, 0)</f>
        <v/>
      </c>
      <c r="I21" s="9" t="n">
        <v>6</v>
      </c>
      <c r="J21" s="9">
        <f>IF(ISNUMBER(I21), I21-E21, "")</f>
        <v/>
      </c>
      <c r="K21" s="10">
        <f>IF(AND(ISNUMBER(I21), ISNUMBER(E21), E21&lt;&gt;0), (I21-E21)/E21, 0)</f>
        <v/>
      </c>
      <c r="L21" s="11" t="n">
        <v>3</v>
      </c>
      <c r="M21" s="11">
        <f>IF(ISNUMBER(L21), L21-E21, "")</f>
        <v/>
      </c>
      <c r="N21" s="12">
        <f>IF(AND(ISNUMBER(L21), ISNUMBER(E21), E21&lt;&gt;0), (L21-E21)/E21, 0)</f>
        <v/>
      </c>
      <c r="O21" s="13" t="n">
        <v>7</v>
      </c>
      <c r="P21" s="13">
        <f>IF(ISNUMBER(O21), O21-E21, "")</f>
        <v/>
      </c>
      <c r="Q21" s="14">
        <f>IF(AND(ISNUMBER(O21), ISNUMBER(E21), E21&lt;&gt;0), (O21-E21)/E21, 0)</f>
        <v/>
      </c>
      <c r="R21" s="6">
        <f>MIN(E21,F21,I21,L21,O21)</f>
        <v/>
      </c>
      <c r="S21" s="6">
        <f>MAX(E21,F21,I21,L21,O21)</f>
        <v/>
      </c>
      <c r="T21" s="6">
        <f>AVERAGE(E21,F21,I21,L21,O21)</f>
        <v/>
      </c>
      <c r="U21" s="6">
        <f>STDEV.P(E21,F21,I21,L21,O21)</f>
        <v/>
      </c>
      <c r="V21" s="15">
        <f>IF(T21&lt;&gt;0, U21/T21, 0)</f>
        <v/>
      </c>
      <c r="W21" s="16" t="n">
        <v>3.5</v>
      </c>
      <c r="X21" t="inlineStr"/>
      <c r="Y21" s="15">
        <f>IF(E21&lt;&gt;0, (T21 - E21) / E21, 0)</f>
        <v/>
      </c>
      <c r="Z21" s="15">
        <f>IF(E21&lt;&gt;0, (R21 - E21) / E21, 0)</f>
        <v/>
      </c>
      <c r="AA21" s="15">
        <f>IF(E21&lt;&gt;0, (S21 - E21) / E21, 0)</f>
        <v/>
      </c>
      <c r="AB21" s="17">
        <f>COUNT(F21,I21,L21,O21)</f>
        <v/>
      </c>
      <c r="AC21">
        <f>"+=COUNTIFS(F21,I21,L21,O21, "&lt;" &amp; E21) / +=COUNTIFS(F21,I21,L21,O21, "&gt;" &amp; E21)"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2026-01-10T03:02:43Z</dcterms:created>
  <dcterms:modified xsi:type="dcterms:W3CDTF">2026-01-10T03:02:43Z</dcterms:modified>
</cp:coreProperties>
</file>